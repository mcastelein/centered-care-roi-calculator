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pcas\Documents\Centered Care\ROI Analysis\"/>
    </mc:Choice>
  </mc:AlternateContent>
  <xr:revisionPtr revIDLastSave="0" documentId="8_{702847C3-1AB7-4EE9-9E1A-9A3DEFD09EFD}" xr6:coauthVersionLast="47" xr6:coauthVersionMax="47" xr10:uidLastSave="{00000000-0000-0000-0000-000000000000}"/>
  <bookViews>
    <workbookView xWindow="-98" yWindow="-98" windowWidth="19396" windowHeight="11475" xr2:uid="{85777928-BFFB-7E41-87C7-50E5FA837073}"/>
  </bookViews>
  <sheets>
    <sheet name="100 Bed Sample Community" sheetId="3" r:id="rId1"/>
    <sheet name="Real Estate Value" sheetId="7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6" i="3" l="1"/>
  <c r="M27" i="3"/>
  <c r="L27" i="3"/>
  <c r="K27" i="3"/>
  <c r="J27" i="3"/>
  <c r="I27" i="3"/>
  <c r="H27" i="3"/>
  <c r="G27" i="3"/>
  <c r="F27" i="3"/>
  <c r="E27" i="3"/>
  <c r="D27" i="3"/>
  <c r="C27" i="3"/>
  <c r="B27" i="3"/>
  <c r="B9" i="3"/>
  <c r="B18" i="3"/>
  <c r="M24" i="3"/>
  <c r="M25" i="3" s="1"/>
  <c r="F24" i="3"/>
  <c r="F25" i="3" s="1"/>
  <c r="E24" i="3"/>
  <c r="E25" i="3" s="1"/>
  <c r="M23" i="3"/>
  <c r="L23" i="3"/>
  <c r="L24" i="3" s="1"/>
  <c r="L25" i="3" s="1"/>
  <c r="K23" i="3"/>
  <c r="K24" i="3" s="1"/>
  <c r="K25" i="3" s="1"/>
  <c r="J23" i="3"/>
  <c r="J24" i="3" s="1"/>
  <c r="J25" i="3" s="1"/>
  <c r="I23" i="3"/>
  <c r="I24" i="3" s="1"/>
  <c r="I25" i="3" s="1"/>
  <c r="H23" i="3"/>
  <c r="H24" i="3" s="1"/>
  <c r="H25" i="3" s="1"/>
  <c r="G23" i="3"/>
  <c r="G24" i="3" s="1"/>
  <c r="G25" i="3" s="1"/>
  <c r="G26" i="3" s="1"/>
  <c r="F23" i="3"/>
  <c r="E23" i="3"/>
  <c r="D23" i="3"/>
  <c r="D24" i="3" s="1"/>
  <c r="D25" i="3" s="1"/>
  <c r="C23" i="3"/>
  <c r="C24" i="3" s="1"/>
  <c r="C25" i="3" s="1"/>
  <c r="B23" i="3"/>
  <c r="B24" i="3" s="1"/>
  <c r="B25" i="3" s="1"/>
  <c r="B26" i="3" s="1"/>
  <c r="M14" i="3"/>
  <c r="M15" i="3" s="1"/>
  <c r="L14" i="3"/>
  <c r="K14" i="3"/>
  <c r="K15" i="3" s="1"/>
  <c r="J14" i="3"/>
  <c r="J15" i="3" s="1"/>
  <c r="J16" i="3" s="1"/>
  <c r="I14" i="3"/>
  <c r="I15" i="3" s="1"/>
  <c r="H14" i="3"/>
  <c r="H15" i="3" s="1"/>
  <c r="G14" i="3"/>
  <c r="G15" i="3" s="1"/>
  <c r="F14" i="3"/>
  <c r="F15" i="3" s="1"/>
  <c r="E14" i="3"/>
  <c r="E15" i="3" s="1"/>
  <c r="D14" i="3"/>
  <c r="D15" i="3" s="1"/>
  <c r="C14" i="3"/>
  <c r="C15" i="3" s="1"/>
  <c r="B14" i="3"/>
  <c r="B15" i="3" s="1"/>
  <c r="B5" i="3"/>
  <c r="M18" i="3"/>
  <c r="L18" i="3"/>
  <c r="K18" i="3"/>
  <c r="J18" i="3"/>
  <c r="I18" i="3"/>
  <c r="H18" i="3"/>
  <c r="G18" i="3"/>
  <c r="F18" i="3"/>
  <c r="E18" i="3"/>
  <c r="D18" i="3"/>
  <c r="C18" i="3"/>
  <c r="C5" i="3"/>
  <c r="D5" i="3"/>
  <c r="D6" i="3" s="1"/>
  <c r="D7" i="3" s="1"/>
  <c r="E5" i="3"/>
  <c r="E6" i="3" s="1"/>
  <c r="F5" i="3"/>
  <c r="F6" i="3" s="1"/>
  <c r="G5" i="3"/>
  <c r="G6" i="3" s="1"/>
  <c r="H5" i="3"/>
  <c r="H6" i="3" s="1"/>
  <c r="I5" i="3"/>
  <c r="I6" i="3" s="1"/>
  <c r="J5" i="3"/>
  <c r="J6" i="3" s="1"/>
  <c r="K5" i="3"/>
  <c r="K6" i="3" s="1"/>
  <c r="L5" i="3"/>
  <c r="M5" i="3"/>
  <c r="M6" i="3" s="1"/>
  <c r="M7" i="3" s="1"/>
  <c r="M9" i="3"/>
  <c r="L9" i="3"/>
  <c r="K9" i="3"/>
  <c r="J9" i="3"/>
  <c r="I9" i="3"/>
  <c r="H9" i="3"/>
  <c r="G9" i="3"/>
  <c r="F9" i="3"/>
  <c r="E9" i="3"/>
  <c r="D9" i="3"/>
  <c r="C9" i="3"/>
  <c r="J26" i="3" l="1"/>
  <c r="J28" i="3" s="1"/>
  <c r="L26" i="3"/>
  <c r="L28" i="3" s="1"/>
  <c r="I26" i="3"/>
  <c r="I28" i="3" s="1"/>
  <c r="H26" i="3"/>
  <c r="H28" i="3" s="1"/>
  <c r="M26" i="3"/>
  <c r="M28" i="3" s="1"/>
  <c r="K26" i="3"/>
  <c r="K28" i="3" s="1"/>
  <c r="D26" i="3"/>
  <c r="D28" i="3" s="1"/>
  <c r="C26" i="3"/>
  <c r="C28" i="3" s="1"/>
  <c r="E26" i="3"/>
  <c r="E28" i="3" s="1"/>
  <c r="G28" i="3"/>
  <c r="F26" i="3"/>
  <c r="F28" i="3" s="1"/>
  <c r="B28" i="3"/>
  <c r="M16" i="3"/>
  <c r="M17" i="3" s="1"/>
  <c r="M19" i="3" s="1"/>
  <c r="L15" i="3"/>
  <c r="L16" i="3" s="1"/>
  <c r="L17" i="3" s="1"/>
  <c r="L19" i="3" s="1"/>
  <c r="J17" i="3"/>
  <c r="J19" i="3" s="1"/>
  <c r="K16" i="3"/>
  <c r="I16" i="3"/>
  <c r="H16" i="3"/>
  <c r="G16" i="3"/>
  <c r="F16" i="3"/>
  <c r="F17" i="3" s="1"/>
  <c r="F19" i="3" s="1"/>
  <c r="E16" i="3"/>
  <c r="D16" i="3"/>
  <c r="C16" i="3"/>
  <c r="B16" i="3"/>
  <c r="D8" i="3"/>
  <c r="D10" i="3" s="1"/>
  <c r="M8" i="3"/>
  <c r="M10" i="3" s="1"/>
  <c r="B7" i="3"/>
  <c r="E7" i="3"/>
  <c r="E8" i="3" s="1"/>
  <c r="E10" i="3" s="1"/>
  <c r="L6" i="3"/>
  <c r="L7" i="3" s="1"/>
  <c r="L8" i="3" s="1"/>
  <c r="L10" i="3" s="1"/>
  <c r="C6" i="3"/>
  <c r="C7" i="3" s="1"/>
  <c r="F7" i="3"/>
  <c r="G7" i="3"/>
  <c r="H7" i="3"/>
  <c r="I7" i="3"/>
  <c r="K7" i="3"/>
  <c r="J7" i="3"/>
  <c r="N28" i="3" l="1"/>
  <c r="B5" i="7" s="1"/>
  <c r="K17" i="3"/>
  <c r="K19" i="3" s="1"/>
  <c r="H17" i="3"/>
  <c r="H19" i="3" s="1"/>
  <c r="I17" i="3"/>
  <c r="I19" i="3" s="1"/>
  <c r="B17" i="3"/>
  <c r="B19" i="3" s="1"/>
  <c r="C17" i="3"/>
  <c r="C19" i="3" s="1"/>
  <c r="D17" i="3"/>
  <c r="D19" i="3" s="1"/>
  <c r="E17" i="3"/>
  <c r="E19" i="3" s="1"/>
  <c r="G17" i="3"/>
  <c r="G19" i="3" s="1"/>
  <c r="I8" i="3"/>
  <c r="I10" i="3" s="1"/>
  <c r="H8" i="3"/>
  <c r="H10" i="3" s="1"/>
  <c r="G8" i="3"/>
  <c r="G10" i="3" s="1"/>
  <c r="B8" i="3"/>
  <c r="B10" i="3" s="1"/>
  <c r="J8" i="3"/>
  <c r="J10" i="3" s="1"/>
  <c r="C8" i="3"/>
  <c r="C10" i="3" s="1"/>
  <c r="F8" i="3"/>
  <c r="F10" i="3" s="1"/>
  <c r="K8" i="3"/>
  <c r="K10" i="3" s="1"/>
  <c r="N19" i="3" l="1"/>
  <c r="B4" i="7" s="1"/>
  <c r="N10" i="3"/>
  <c r="B3" i="7" s="1"/>
</calcChain>
</file>

<file path=xl/sharedStrings.xml><?xml version="1.0" encoding="utf-8"?>
<sst xmlns="http://schemas.openxmlformats.org/spreadsheetml/2006/main" count="54" uniqueCount="35">
  <si>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</si>
  <si>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</si>
  <si>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</si>
  <si>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</si>
  <si>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</si>
  <si>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</si>
  <si>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</si>
  <si>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</si>
  <si>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</si>
  <si>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</si>
  <si>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</si>
  <si>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</si>
  <si>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Total eligible</t>
  </si>
  <si>
    <t>Unique Staff Members</t>
  </si>
  <si>
    <t>Payroll savings</t>
  </si>
  <si>
    <t>SaaS fee</t>
  </si>
  <si>
    <t>Total Savings</t>
  </si>
  <si>
    <t>Payroll savings salary</t>
  </si>
  <si>
    <t>Jan - April</t>
  </si>
  <si>
    <t>May - Aug</t>
  </si>
  <si>
    <t>Sept - Dec</t>
  </si>
  <si>
    <t>Total residents*</t>
  </si>
  <si>
    <t>Total residents enrolled**</t>
  </si>
  <si>
    <t>Net savings</t>
  </si>
  <si>
    <t>100 Bed Community</t>
  </si>
  <si>
    <t>Year 2</t>
  </si>
  <si>
    <t>Year 1</t>
  </si>
  <si>
    <t>Per Resident Per Month SaaS fee*</t>
  </si>
  <si>
    <t>*PRPM charged for all residents</t>
  </si>
  <si>
    <t>Year 3+</t>
  </si>
  <si>
    <t>Medicare &amp; MA PPO only</t>
  </si>
  <si>
    <t>Projected year 1 resident ramp:</t>
  </si>
  <si>
    <t>Year 3</t>
  </si>
  <si>
    <t>Increase in Value of Real Estate Asset</t>
  </si>
  <si>
    <t>Cap 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</si>
</sst>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6" formatCode="&quot;$&quot;#,##0_);[Red]\(&quot;$&quot;#,##0\)"/>
    <numFmt numFmtId="164" formatCode="0.0"/>
    <numFmt numFmtId="165" formatCode="&quot;$&quot;#,##0"/>
  </numFmts>
  <fonts count="8" x14ac:knownFonts="1">
    <font>
      <sz val="12"/>
      <color theme="1"/>
      <name val="Aptos Narrow"/>
      <family val="2"/>
      <scheme val="minor"/>
    </font>
    <font>
      <b/>
      <sz val="18"/>
      <color theme="1"/>
      <name val="Aptos Narrow"/>
      <scheme val="minor"/>
    </font>
    <font>
      <sz val="14"/>
      <color rgb="FF000000"/>
      <name val="Aptos Narrow"/>
      <scheme val="minor"/>
    </font>
    <font>
      <sz val="14"/>
      <color theme="1"/>
      <name val="Aptos Narrow"/>
      <scheme val="minor"/>
    </font>
    <font>
      <b/>
      <sz val="14"/>
      <color theme="1"/>
      <name val="Aptos Narrow"/>
      <scheme val="minor"/>
    </font>
    <font>
      <b/>
      <sz val="16"/>
      <color rgb="FF000000"/>
      <name val="Aptos Narrow"/>
      <scheme val="minor"/>
    </font>
    <font>
      <b/>
      <sz val="12"/>
      <color theme="1"/>
      <name val="Aptos Narrow"/>
      <scheme val="minor"/>
    </font>
    <font>
      <b/>
      <sz val="16"/>
      <color theme="1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double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1" xfId="0" applyFont="1" applyBorder="1"/>
    <xf numFmtId="0" fontId="3" fillId="0" borderId="0" xfId="0" applyFont="1"/>
    <xf numFmtId="164" fontId="2" fillId="0" borderId="0" xfId="0" applyNumberFormat="1" applyFont="1"/>
    <xf numFmtId="165" fontId="2" fillId="0" borderId="0" xfId="0" applyNumberFormat="1" applyFont="1"/>
    <xf numFmtId="165" fontId="2" fillId="0" borderId="2" xfId="0" applyNumberFormat="1" applyFont="1" applyBorder="1"/>
    <xf numFmtId="165" fontId="4" fillId="0" borderId="0" xfId="0" applyNumberFormat="1" applyFont="1"/>
    <xf numFmtId="6" fontId="2" fillId="0" borderId="0" xfId="0" applyNumberFormat="1" applyFont="1"/>
    <xf numFmtId="0" fontId="2" fillId="0" borderId="0" xfId="0" applyFont="1" applyAlignment="1">
      <alignment horizontal="right"/>
    </xf>
    <xf numFmtId="9" fontId="2" fillId="0" borderId="0" xfId="0" applyNumberFormat="1" applyFont="1"/>
    <xf numFmtId="0" fontId="2" fillId="0" borderId="0" xfId="0" applyFont="1" applyAlignment="1">
      <alignment horizontal="left"/>
    </xf>
    <xf numFmtId="0" fontId="1" fillId="2" borderId="0" xfId="0" applyFont="1" applyFill="1"/>
    <xf numFmtId="165" fontId="1" fillId="0" borderId="0" xfId="0" applyNumberFormat="1" applyFont="1"/>
    <xf numFmtId="9" fontId="4" fillId="0" borderId="0" xfId="0" applyNumberFormat="1" applyFont="1"/>
    <xf numFmtId="1" fontId="2" fillId="0" borderId="0" xfId="0" applyNumberFormat="1" applyFont="1"/>
    <xf numFmtId="1" fontId="3" fillId="0" borderId="0" xfId="0" applyNumberFormat="1" applyFont="1"/>
    <xf numFmtId="3" fontId="2" fillId="0" borderId="0" xfId="0" applyNumberFormat="1" applyFont="1"/>
    <xf numFmtId="3" fontId="3" fillId="0" borderId="0" xfId="0" applyNumberFormat="1" applyFont="1"/>
    <xf numFmtId="165" fontId="3" fillId="0" borderId="0" xfId="0" applyNumberFormat="1" applyFont="1"/>
    <xf numFmtId="165" fontId="4" fillId="0" borderId="2" xfId="0" applyNumberFormat="1" applyFont="1" applyBorder="1"/>
    <xf numFmtId="0" fontId="0" fillId="2" borderId="0" xfId="0" applyFill="1"/>
    <xf numFmtId="0" fontId="5" fillId="0" borderId="0" xfId="0" applyFont="1"/>
    <xf numFmtId="0" fontId="6" fillId="0" borderId="0" xfId="0" applyFont="1"/>
    <xf numFmtId="0" fontId="7" fillId="0" borderId="0" xfId="0" applyFont="1"/>
    <xf numFmtId="0" fontId="4" fillId="0" borderId="0" xfId="0" applyFont="1"/>
    <xf numFmtId="9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A2BD94-CF20-7144-87CC-788271B4FD8E}">
  <dimension ref="A1:O43"/>
  <sheetViews>
    <sheetView tabSelected="1" topLeftCell="A3" zoomScale="99" workbookViewId="0">
      <selection activeCell="Q14" sqref="Q14"/>
    </sheetView>
  </sheetViews>
  <sheetFormatPr defaultColWidth="11" defaultRowHeight="15.75" x14ac:dyDescent="0.5"/>
  <cols>
    <col min="1" max="1" width="35.5" customWidth="1"/>
    <col min="4" max="4" width="15.1875" bestFit="1" customWidth="1"/>
  </cols>
  <sheetData>
    <row r="1" spans="1:15" ht="23.25" x14ac:dyDescent="0.7">
      <c r="A1" s="13" t="s">
        <v>24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22"/>
    </row>
    <row r="2" spans="1:15" ht="23.25" x14ac:dyDescent="0.7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</row>
    <row r="3" spans="1:15" ht="21" x14ac:dyDescent="0.65">
      <c r="A3" s="23" t="s">
        <v>26</v>
      </c>
      <c r="B3" s="3" t="s">
        <v>0</v>
      </c>
      <c r="C3" s="3" t="s">
        <v>1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  <c r="K3" s="3" t="s">
        <v>9</v>
      </c>
      <c r="L3" s="3" t="s">
        <v>10</v>
      </c>
      <c r="M3" s="3" t="s">
        <v>11</v>
      </c>
      <c r="N3" s="4"/>
      <c r="O3" s="4"/>
    </row>
    <row r="4" spans="1:15" ht="18" x14ac:dyDescent="0.55000000000000004">
      <c r="A4" s="2" t="s">
        <v>21</v>
      </c>
      <c r="B4" s="16">
        <v>100</v>
      </c>
      <c r="C4" s="16">
        <v>100</v>
      </c>
      <c r="D4" s="16">
        <v>100</v>
      </c>
      <c r="E4" s="16">
        <v>100</v>
      </c>
      <c r="F4" s="16">
        <v>100</v>
      </c>
      <c r="G4" s="16">
        <v>100</v>
      </c>
      <c r="H4" s="16">
        <v>100</v>
      </c>
      <c r="I4" s="16">
        <v>100</v>
      </c>
      <c r="J4" s="16">
        <v>100</v>
      </c>
      <c r="K4" s="16">
        <v>100</v>
      </c>
      <c r="L4" s="16">
        <v>100</v>
      </c>
      <c r="M4" s="16">
        <v>100</v>
      </c>
      <c r="N4" s="17"/>
      <c r="O4" s="17"/>
    </row>
    <row r="5" spans="1:15" ht="18" x14ac:dyDescent="0.55000000000000004">
      <c r="A5" s="2" t="s">
        <v>12</v>
      </c>
      <c r="B5" s="16">
        <f>B4*0.7</f>
        <v>70</v>
      </c>
      <c r="C5" s="16">
        <f t="shared" ref="C5:M5" si="0">C4*0.7</f>
        <v>70</v>
      </c>
      <c r="D5" s="16">
        <f t="shared" si="0"/>
        <v>70</v>
      </c>
      <c r="E5" s="16">
        <f t="shared" si="0"/>
        <v>70</v>
      </c>
      <c r="F5" s="16">
        <f t="shared" si="0"/>
        <v>70</v>
      </c>
      <c r="G5" s="16">
        <f t="shared" si="0"/>
        <v>70</v>
      </c>
      <c r="H5" s="16">
        <f t="shared" si="0"/>
        <v>70</v>
      </c>
      <c r="I5" s="16">
        <f t="shared" si="0"/>
        <v>70</v>
      </c>
      <c r="J5" s="16">
        <f t="shared" si="0"/>
        <v>70</v>
      </c>
      <c r="K5" s="16">
        <f t="shared" si="0"/>
        <v>70</v>
      </c>
      <c r="L5" s="16">
        <f t="shared" si="0"/>
        <v>70</v>
      </c>
      <c r="M5" s="16">
        <f t="shared" si="0"/>
        <v>70</v>
      </c>
      <c r="N5" s="17"/>
      <c r="O5" s="17"/>
    </row>
    <row r="6" spans="1:15" ht="18" x14ac:dyDescent="0.55000000000000004">
      <c r="A6" s="2" t="s">
        <v>22</v>
      </c>
      <c r="B6" s="16">
        <f>B5*B35</f>
        <v>56</v>
      </c>
      <c r="C6" s="16">
        <f>C5*B35</f>
        <v>56</v>
      </c>
      <c r="D6" s="16">
        <f>D5*B35</f>
        <v>56</v>
      </c>
      <c r="E6" s="16">
        <f>E5*B35</f>
        <v>56</v>
      </c>
      <c r="F6" s="16">
        <f>F5*B36</f>
        <v>63</v>
      </c>
      <c r="G6" s="16">
        <f>G5*B36</f>
        <v>63</v>
      </c>
      <c r="H6" s="16">
        <f>H5*B36</f>
        <v>63</v>
      </c>
      <c r="I6" s="16">
        <f>I5*B36</f>
        <v>63</v>
      </c>
      <c r="J6" s="16">
        <f>J5*B37</f>
        <v>70</v>
      </c>
      <c r="K6" s="16">
        <f>K5*B37</f>
        <v>70</v>
      </c>
      <c r="L6" s="16">
        <f>L5*B37</f>
        <v>70</v>
      </c>
      <c r="M6" s="16">
        <f>M5*B37</f>
        <v>70</v>
      </c>
      <c r="N6" s="17"/>
      <c r="O6" s="17"/>
    </row>
    <row r="7" spans="1:15" ht="18" x14ac:dyDescent="0.55000000000000004">
      <c r="A7" s="2" t="s">
        <v>13</v>
      </c>
      <c r="B7" s="5">
        <f>B6/120</f>
        <v>0.46666666666666667</v>
      </c>
      <c r="C7" s="5">
        <f t="shared" ref="C7:L7" si="1">C6/120</f>
        <v>0.46666666666666667</v>
      </c>
      <c r="D7" s="5">
        <f t="shared" si="1"/>
        <v>0.46666666666666667</v>
      </c>
      <c r="E7" s="5">
        <f t="shared" si="1"/>
        <v>0.46666666666666667</v>
      </c>
      <c r="F7" s="5">
        <f t="shared" si="1"/>
        <v>0.52500000000000002</v>
      </c>
      <c r="G7" s="5">
        <f t="shared" si="1"/>
        <v>0.52500000000000002</v>
      </c>
      <c r="H7" s="5">
        <f t="shared" si="1"/>
        <v>0.52500000000000002</v>
      </c>
      <c r="I7" s="5">
        <f t="shared" si="1"/>
        <v>0.52500000000000002</v>
      </c>
      <c r="J7" s="5">
        <f t="shared" si="1"/>
        <v>0.58333333333333337</v>
      </c>
      <c r="K7" s="5">
        <f t="shared" si="1"/>
        <v>0.58333333333333337</v>
      </c>
      <c r="L7" s="5">
        <f t="shared" si="1"/>
        <v>0.58333333333333337</v>
      </c>
      <c r="M7" s="5">
        <f>M6/120</f>
        <v>0.58333333333333337</v>
      </c>
      <c r="N7" s="17"/>
      <c r="O7" s="17"/>
    </row>
    <row r="8" spans="1:15" ht="18" x14ac:dyDescent="0.55000000000000004">
      <c r="A8" s="2" t="s">
        <v>14</v>
      </c>
      <c r="B8" s="6">
        <f>B7*B33/12</f>
        <v>3500</v>
      </c>
      <c r="C8" s="6">
        <f>C7*B33/12</f>
        <v>3500</v>
      </c>
      <c r="D8" s="6">
        <f>D7*B33/12</f>
        <v>3500</v>
      </c>
      <c r="E8" s="6">
        <f>E7*B33/12</f>
        <v>3500</v>
      </c>
      <c r="F8" s="6">
        <f>F7*B33/12</f>
        <v>3937.5</v>
      </c>
      <c r="G8" s="6">
        <f>G7*B33/12</f>
        <v>3937.5</v>
      </c>
      <c r="H8" s="6">
        <f>H7*B33/12</f>
        <v>3937.5</v>
      </c>
      <c r="I8" s="6">
        <f>I7*B33/12</f>
        <v>3937.5</v>
      </c>
      <c r="J8" s="6">
        <f>J7*B33/12</f>
        <v>4375</v>
      </c>
      <c r="K8" s="6">
        <f>K7*B33/12</f>
        <v>4375</v>
      </c>
      <c r="L8" s="6">
        <f>L7*B33/12</f>
        <v>4375</v>
      </c>
      <c r="M8" s="6">
        <f>M7*B33/12</f>
        <v>4375</v>
      </c>
      <c r="N8" s="20"/>
      <c r="O8" s="20"/>
    </row>
    <row r="9" spans="1:15" ht="18.399999999999999" thickBot="1" x14ac:dyDescent="0.6">
      <c r="A9" s="2" t="s">
        <v>15</v>
      </c>
      <c r="B9" s="7">
        <f>B4*B31</f>
        <v>1500</v>
      </c>
      <c r="C9" s="7">
        <f>C4*B31</f>
        <v>1500</v>
      </c>
      <c r="D9" s="7">
        <f>D4*B31</f>
        <v>1500</v>
      </c>
      <c r="E9" s="7">
        <f>E4*B31</f>
        <v>1500</v>
      </c>
      <c r="F9" s="7">
        <f>F4*B31</f>
        <v>1500</v>
      </c>
      <c r="G9" s="7">
        <f>G4*B31</f>
        <v>1500</v>
      </c>
      <c r="H9" s="7">
        <f>H4*B31</f>
        <v>1500</v>
      </c>
      <c r="I9" s="7">
        <f>I4*B31</f>
        <v>1500</v>
      </c>
      <c r="J9" s="7">
        <f>J4*B31</f>
        <v>1500</v>
      </c>
      <c r="K9" s="7">
        <f>K4*B31</f>
        <v>1500</v>
      </c>
      <c r="L9" s="7">
        <f>L4*B31</f>
        <v>1500</v>
      </c>
      <c r="M9" s="7">
        <f>M4*B31</f>
        <v>1500</v>
      </c>
      <c r="N9" s="21" t="s">
        <v>16</v>
      </c>
      <c r="O9" s="20"/>
    </row>
    <row r="10" spans="1:15" ht="18.399999999999999" thickTop="1" x14ac:dyDescent="0.55000000000000004">
      <c r="A10" s="2" t="s">
        <v>23</v>
      </c>
      <c r="B10" s="6">
        <f>B8-B9</f>
        <v>2000</v>
      </c>
      <c r="C10" s="6">
        <f t="shared" ref="C10:M10" si="2">C8-C9</f>
        <v>2000</v>
      </c>
      <c r="D10" s="6">
        <f t="shared" si="2"/>
        <v>2000</v>
      </c>
      <c r="E10" s="6">
        <f t="shared" si="2"/>
        <v>2000</v>
      </c>
      <c r="F10" s="6">
        <f t="shared" si="2"/>
        <v>2437.5</v>
      </c>
      <c r="G10" s="6">
        <f t="shared" si="2"/>
        <v>2437.5</v>
      </c>
      <c r="H10" s="6">
        <f t="shared" si="2"/>
        <v>2437.5</v>
      </c>
      <c r="I10" s="6">
        <f t="shared" si="2"/>
        <v>2437.5</v>
      </c>
      <c r="J10" s="6">
        <f t="shared" si="2"/>
        <v>2875</v>
      </c>
      <c r="K10" s="6">
        <f t="shared" si="2"/>
        <v>2875</v>
      </c>
      <c r="L10" s="6">
        <f t="shared" si="2"/>
        <v>2875</v>
      </c>
      <c r="M10" s="6">
        <f t="shared" si="2"/>
        <v>2875</v>
      </c>
      <c r="N10" s="8">
        <f>SUM(B10:M10)</f>
        <v>29250</v>
      </c>
      <c r="O10" s="20"/>
    </row>
    <row r="11" spans="1:15" ht="18" x14ac:dyDescent="0.55000000000000004">
      <c r="A11" s="2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8"/>
      <c r="O11" s="20"/>
    </row>
    <row r="12" spans="1:15" ht="21" x14ac:dyDescent="0.65">
      <c r="A12" s="23" t="s">
        <v>25</v>
      </c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9"/>
      <c r="O12" s="19"/>
    </row>
    <row r="13" spans="1:15" ht="18" x14ac:dyDescent="0.55000000000000004">
      <c r="A13" s="2" t="s">
        <v>21</v>
      </c>
      <c r="B13" s="16">
        <v>100</v>
      </c>
      <c r="C13" s="16">
        <v>100</v>
      </c>
      <c r="D13" s="16">
        <v>100</v>
      </c>
      <c r="E13" s="16">
        <v>100</v>
      </c>
      <c r="F13" s="16">
        <v>100</v>
      </c>
      <c r="G13" s="16">
        <v>100</v>
      </c>
      <c r="H13" s="16">
        <v>100</v>
      </c>
      <c r="I13" s="16">
        <v>100</v>
      </c>
      <c r="J13" s="16">
        <v>100</v>
      </c>
      <c r="K13" s="16">
        <v>100</v>
      </c>
      <c r="L13" s="16">
        <v>100</v>
      </c>
      <c r="M13" s="16">
        <v>100</v>
      </c>
      <c r="N13" s="17"/>
      <c r="O13" s="17"/>
    </row>
    <row r="14" spans="1:15" ht="18" x14ac:dyDescent="0.55000000000000004">
      <c r="A14" s="2" t="s">
        <v>12</v>
      </c>
      <c r="B14" s="16">
        <f t="shared" ref="B14:M14" si="3">B13*0.8</f>
        <v>80</v>
      </c>
      <c r="C14" s="16">
        <f t="shared" si="3"/>
        <v>80</v>
      </c>
      <c r="D14" s="16">
        <f t="shared" si="3"/>
        <v>80</v>
      </c>
      <c r="E14" s="16">
        <f t="shared" si="3"/>
        <v>80</v>
      </c>
      <c r="F14" s="16">
        <f t="shared" si="3"/>
        <v>80</v>
      </c>
      <c r="G14" s="16">
        <f t="shared" si="3"/>
        <v>80</v>
      </c>
      <c r="H14" s="16">
        <f t="shared" si="3"/>
        <v>80</v>
      </c>
      <c r="I14" s="16">
        <f t="shared" si="3"/>
        <v>80</v>
      </c>
      <c r="J14" s="16">
        <f t="shared" si="3"/>
        <v>80</v>
      </c>
      <c r="K14" s="16">
        <f t="shared" si="3"/>
        <v>80</v>
      </c>
      <c r="L14" s="16">
        <f t="shared" si="3"/>
        <v>80</v>
      </c>
      <c r="M14" s="16">
        <f t="shared" si="3"/>
        <v>80</v>
      </c>
      <c r="N14" s="17"/>
      <c r="O14" s="17"/>
    </row>
    <row r="15" spans="1:15" ht="18" x14ac:dyDescent="0.55000000000000004">
      <c r="A15" s="2" t="s">
        <v>22</v>
      </c>
      <c r="B15" s="16">
        <f>B14*B37</f>
        <v>80</v>
      </c>
      <c r="C15" s="16">
        <f>C14*B37</f>
        <v>80</v>
      </c>
      <c r="D15" s="16">
        <f>D14*B37</f>
        <v>80</v>
      </c>
      <c r="E15" s="16">
        <f>E14*B37</f>
        <v>80</v>
      </c>
      <c r="F15" s="16">
        <f>F14*B37</f>
        <v>80</v>
      </c>
      <c r="G15" s="16">
        <f>G14*B37</f>
        <v>80</v>
      </c>
      <c r="H15" s="16">
        <f>H14*B37</f>
        <v>80</v>
      </c>
      <c r="I15" s="16">
        <f>I14*B37</f>
        <v>80</v>
      </c>
      <c r="J15" s="16">
        <f>J14*B37</f>
        <v>80</v>
      </c>
      <c r="K15" s="16">
        <f>K14*B37</f>
        <v>80</v>
      </c>
      <c r="L15" s="16">
        <f>L14*B37</f>
        <v>80</v>
      </c>
      <c r="M15" s="16">
        <f>M14*B37</f>
        <v>80</v>
      </c>
      <c r="N15" s="17"/>
      <c r="O15" s="17"/>
    </row>
    <row r="16" spans="1:15" ht="18" x14ac:dyDescent="0.55000000000000004">
      <c r="A16" s="2" t="s">
        <v>13</v>
      </c>
      <c r="B16" s="5">
        <f>B15/120</f>
        <v>0.66666666666666663</v>
      </c>
      <c r="C16" s="5">
        <f t="shared" ref="C16:L16" si="4">C15/120</f>
        <v>0.66666666666666663</v>
      </c>
      <c r="D16" s="5">
        <f t="shared" si="4"/>
        <v>0.66666666666666663</v>
      </c>
      <c r="E16" s="5">
        <f t="shared" si="4"/>
        <v>0.66666666666666663</v>
      </c>
      <c r="F16" s="5">
        <f t="shared" si="4"/>
        <v>0.66666666666666663</v>
      </c>
      <c r="G16" s="5">
        <f t="shared" si="4"/>
        <v>0.66666666666666663</v>
      </c>
      <c r="H16" s="5">
        <f t="shared" si="4"/>
        <v>0.66666666666666663</v>
      </c>
      <c r="I16" s="5">
        <f t="shared" si="4"/>
        <v>0.66666666666666663</v>
      </c>
      <c r="J16" s="5">
        <f t="shared" si="4"/>
        <v>0.66666666666666663</v>
      </c>
      <c r="K16" s="5">
        <f t="shared" si="4"/>
        <v>0.66666666666666663</v>
      </c>
      <c r="L16" s="5">
        <f t="shared" si="4"/>
        <v>0.66666666666666663</v>
      </c>
      <c r="M16" s="5">
        <f>M15/120</f>
        <v>0.66666666666666663</v>
      </c>
      <c r="N16" s="17"/>
      <c r="O16" s="17"/>
    </row>
    <row r="17" spans="1:15" ht="18" x14ac:dyDescent="0.55000000000000004">
      <c r="A17" s="2" t="s">
        <v>14</v>
      </c>
      <c r="B17" s="6">
        <f>B16*B33/12</f>
        <v>5000</v>
      </c>
      <c r="C17" s="6">
        <f>C16*B33/12</f>
        <v>5000</v>
      </c>
      <c r="D17" s="6">
        <f>D16*B33/12</f>
        <v>5000</v>
      </c>
      <c r="E17" s="6">
        <f>E16*B33/12</f>
        <v>5000</v>
      </c>
      <c r="F17" s="6">
        <f>F16*B33/12</f>
        <v>5000</v>
      </c>
      <c r="G17" s="6">
        <f>G16*B33/12</f>
        <v>5000</v>
      </c>
      <c r="H17" s="6">
        <f>H16*B33/12</f>
        <v>5000</v>
      </c>
      <c r="I17" s="6">
        <f>I16*B33/12</f>
        <v>5000</v>
      </c>
      <c r="J17" s="6">
        <f>J16*B33/12</f>
        <v>5000</v>
      </c>
      <c r="K17" s="6">
        <f>K16*B33/12</f>
        <v>5000</v>
      </c>
      <c r="L17" s="6">
        <f>L16*B33/12</f>
        <v>5000</v>
      </c>
      <c r="M17" s="6">
        <f>M16*B33/12</f>
        <v>5000</v>
      </c>
      <c r="N17" s="20"/>
      <c r="O17" s="20"/>
    </row>
    <row r="18" spans="1:15" ht="18.399999999999999" thickBot="1" x14ac:dyDescent="0.6">
      <c r="A18" s="2" t="s">
        <v>15</v>
      </c>
      <c r="B18" s="7">
        <f>B13*B31</f>
        <v>1500</v>
      </c>
      <c r="C18" s="7">
        <f>C13*B31</f>
        <v>1500</v>
      </c>
      <c r="D18" s="7">
        <f>D13*B31</f>
        <v>1500</v>
      </c>
      <c r="E18" s="7">
        <f>E13*B31</f>
        <v>1500</v>
      </c>
      <c r="F18" s="7">
        <f>F13*B31</f>
        <v>1500</v>
      </c>
      <c r="G18" s="7">
        <f>G13*B31</f>
        <v>1500</v>
      </c>
      <c r="H18" s="7">
        <f>H13*B31</f>
        <v>1500</v>
      </c>
      <c r="I18" s="7">
        <f>I13*B31</f>
        <v>1500</v>
      </c>
      <c r="J18" s="7">
        <f>J13*B31</f>
        <v>1500</v>
      </c>
      <c r="K18" s="7">
        <f>K13*B31</f>
        <v>1500</v>
      </c>
      <c r="L18" s="7">
        <f>L13*B31</f>
        <v>1500</v>
      </c>
      <c r="M18" s="7">
        <f>M13*B31</f>
        <v>1500</v>
      </c>
      <c r="N18" s="21" t="s">
        <v>16</v>
      </c>
      <c r="O18" s="20"/>
    </row>
    <row r="19" spans="1:15" ht="18.399999999999999" thickTop="1" x14ac:dyDescent="0.55000000000000004">
      <c r="A19" s="2" t="s">
        <v>23</v>
      </c>
      <c r="B19" s="6">
        <f>B17-B18</f>
        <v>3500</v>
      </c>
      <c r="C19" s="6">
        <f t="shared" ref="C19:M19" si="5">C17-C18</f>
        <v>3500</v>
      </c>
      <c r="D19" s="6">
        <f t="shared" si="5"/>
        <v>3500</v>
      </c>
      <c r="E19" s="6">
        <f t="shared" si="5"/>
        <v>3500</v>
      </c>
      <c r="F19" s="6">
        <f t="shared" si="5"/>
        <v>3500</v>
      </c>
      <c r="G19" s="6">
        <f t="shared" si="5"/>
        <v>3500</v>
      </c>
      <c r="H19" s="6">
        <f t="shared" si="5"/>
        <v>3500</v>
      </c>
      <c r="I19" s="6">
        <f t="shared" si="5"/>
        <v>3500</v>
      </c>
      <c r="J19" s="6">
        <f t="shared" si="5"/>
        <v>3500</v>
      </c>
      <c r="K19" s="6">
        <f t="shared" si="5"/>
        <v>3500</v>
      </c>
      <c r="L19" s="6">
        <f t="shared" si="5"/>
        <v>3500</v>
      </c>
      <c r="M19" s="6">
        <f t="shared" si="5"/>
        <v>3500</v>
      </c>
      <c r="N19" s="8">
        <f>SUM(B19:M19)</f>
        <v>42000</v>
      </c>
      <c r="O19" s="20"/>
    </row>
    <row r="20" spans="1:15" ht="18" x14ac:dyDescent="0.55000000000000004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4"/>
      <c r="O20" s="4"/>
    </row>
    <row r="21" spans="1:15" ht="21" x14ac:dyDescent="0.65">
      <c r="A21" s="23" t="s">
        <v>29</v>
      </c>
      <c r="B21" s="18"/>
      <c r="C21" s="18"/>
      <c r="D21" s="18"/>
      <c r="E21" s="18"/>
      <c r="F21" s="18"/>
      <c r="G21" s="18"/>
      <c r="H21" s="18"/>
      <c r="I21" s="18"/>
      <c r="J21" s="18"/>
      <c r="K21" s="18"/>
      <c r="L21" s="18"/>
      <c r="M21" s="18"/>
      <c r="N21" s="19"/>
      <c r="O21" s="19"/>
    </row>
    <row r="22" spans="1:15" ht="18" x14ac:dyDescent="0.55000000000000004">
      <c r="A22" s="2" t="s">
        <v>21</v>
      </c>
      <c r="B22" s="16">
        <v>100</v>
      </c>
      <c r="C22" s="16">
        <v>100</v>
      </c>
      <c r="D22" s="16">
        <v>100</v>
      </c>
      <c r="E22" s="16">
        <v>100</v>
      </c>
      <c r="F22" s="16">
        <v>100</v>
      </c>
      <c r="G22" s="16">
        <v>100</v>
      </c>
      <c r="H22" s="16">
        <v>100</v>
      </c>
      <c r="I22" s="16">
        <v>100</v>
      </c>
      <c r="J22" s="16">
        <v>100</v>
      </c>
      <c r="K22" s="16">
        <v>100</v>
      </c>
      <c r="L22" s="16">
        <v>100</v>
      </c>
      <c r="M22" s="16">
        <v>100</v>
      </c>
      <c r="N22" s="17"/>
      <c r="O22" s="17"/>
    </row>
    <row r="23" spans="1:15" ht="18" x14ac:dyDescent="0.55000000000000004">
      <c r="A23" s="2" t="s">
        <v>12</v>
      </c>
      <c r="B23" s="16">
        <f t="shared" ref="B23:M23" si="6">B22*0.9</f>
        <v>90</v>
      </c>
      <c r="C23" s="16">
        <f t="shared" si="6"/>
        <v>90</v>
      </c>
      <c r="D23" s="16">
        <f t="shared" si="6"/>
        <v>90</v>
      </c>
      <c r="E23" s="16">
        <f t="shared" si="6"/>
        <v>90</v>
      </c>
      <c r="F23" s="16">
        <f t="shared" si="6"/>
        <v>90</v>
      </c>
      <c r="G23" s="16">
        <f t="shared" si="6"/>
        <v>90</v>
      </c>
      <c r="H23" s="16">
        <f t="shared" si="6"/>
        <v>90</v>
      </c>
      <c r="I23" s="16">
        <f t="shared" si="6"/>
        <v>90</v>
      </c>
      <c r="J23" s="16">
        <f t="shared" si="6"/>
        <v>90</v>
      </c>
      <c r="K23" s="16">
        <f t="shared" si="6"/>
        <v>90</v>
      </c>
      <c r="L23" s="16">
        <f t="shared" si="6"/>
        <v>90</v>
      </c>
      <c r="M23" s="16">
        <f t="shared" si="6"/>
        <v>90</v>
      </c>
      <c r="N23" s="17"/>
      <c r="O23" s="17"/>
    </row>
    <row r="24" spans="1:15" ht="18" x14ac:dyDescent="0.55000000000000004">
      <c r="A24" s="2" t="s">
        <v>22</v>
      </c>
      <c r="B24" s="16">
        <f>B23*B37</f>
        <v>90</v>
      </c>
      <c r="C24" s="16">
        <f>C23*B37</f>
        <v>90</v>
      </c>
      <c r="D24" s="16">
        <f>D23*B37</f>
        <v>90</v>
      </c>
      <c r="E24" s="16">
        <f>E23*B37</f>
        <v>90</v>
      </c>
      <c r="F24" s="16">
        <f>F23*B37</f>
        <v>90</v>
      </c>
      <c r="G24" s="16">
        <f>G23*B37</f>
        <v>90</v>
      </c>
      <c r="H24" s="16">
        <f>H23*B37</f>
        <v>90</v>
      </c>
      <c r="I24" s="16">
        <f>I23*B37</f>
        <v>90</v>
      </c>
      <c r="J24" s="16">
        <f>J23*B37</f>
        <v>90</v>
      </c>
      <c r="K24" s="16">
        <f>K23*B37</f>
        <v>90</v>
      </c>
      <c r="L24" s="16">
        <f>L23*B37</f>
        <v>90</v>
      </c>
      <c r="M24" s="16">
        <f>M23*B37</f>
        <v>90</v>
      </c>
      <c r="N24" s="17"/>
      <c r="O24" s="17"/>
    </row>
    <row r="25" spans="1:15" ht="18" x14ac:dyDescent="0.55000000000000004">
      <c r="A25" s="2" t="s">
        <v>13</v>
      </c>
      <c r="B25" s="5">
        <f>B24/120</f>
        <v>0.75</v>
      </c>
      <c r="C25" s="5">
        <f t="shared" ref="C25:L25" si="7">C24/120</f>
        <v>0.75</v>
      </c>
      <c r="D25" s="5">
        <f t="shared" si="7"/>
        <v>0.75</v>
      </c>
      <c r="E25" s="5">
        <f t="shared" si="7"/>
        <v>0.75</v>
      </c>
      <c r="F25" s="5">
        <f t="shared" si="7"/>
        <v>0.75</v>
      </c>
      <c r="G25" s="5">
        <f t="shared" si="7"/>
        <v>0.75</v>
      </c>
      <c r="H25" s="5">
        <f t="shared" si="7"/>
        <v>0.75</v>
      </c>
      <c r="I25" s="5">
        <f t="shared" si="7"/>
        <v>0.75</v>
      </c>
      <c r="J25" s="5">
        <f t="shared" si="7"/>
        <v>0.75</v>
      </c>
      <c r="K25" s="5">
        <f t="shared" si="7"/>
        <v>0.75</v>
      </c>
      <c r="L25" s="5">
        <f t="shared" si="7"/>
        <v>0.75</v>
      </c>
      <c r="M25" s="5">
        <f>M24/120</f>
        <v>0.75</v>
      </c>
      <c r="N25" s="17"/>
      <c r="O25" s="17"/>
    </row>
    <row r="26" spans="1:15" ht="18" x14ac:dyDescent="0.55000000000000004">
      <c r="A26" s="2" t="s">
        <v>14</v>
      </c>
      <c r="B26" s="6">
        <f>B25*B33/12</f>
        <v>5625</v>
      </c>
      <c r="C26" s="6">
        <f>C25*B33/12</f>
        <v>5625</v>
      </c>
      <c r="D26" s="6">
        <f>D25*B33/12</f>
        <v>5625</v>
      </c>
      <c r="E26" s="6">
        <f>E25*B33/12</f>
        <v>5625</v>
      </c>
      <c r="F26" s="6">
        <f>F25*B33/12</f>
        <v>5625</v>
      </c>
      <c r="G26" s="6">
        <f>G25*B33/12</f>
        <v>5625</v>
      </c>
      <c r="H26" s="6">
        <f>H25*B33/12</f>
        <v>5625</v>
      </c>
      <c r="I26" s="6">
        <f>I25*B33/12</f>
        <v>5625</v>
      </c>
      <c r="J26" s="6">
        <f>J25*B33/12</f>
        <v>5625</v>
      </c>
      <c r="K26" s="6">
        <f>K25*B33/12</f>
        <v>5625</v>
      </c>
      <c r="L26" s="6">
        <f>L25*B33/12</f>
        <v>5625</v>
      </c>
      <c r="M26" s="6">
        <f>M25*B33/12</f>
        <v>5625</v>
      </c>
      <c r="N26" s="20"/>
      <c r="O26" s="20"/>
    </row>
    <row r="27" spans="1:15" ht="18.399999999999999" thickBot="1" x14ac:dyDescent="0.6">
      <c r="A27" s="2" t="s">
        <v>15</v>
      </c>
      <c r="B27" s="7">
        <f>B22*B31</f>
        <v>1500</v>
      </c>
      <c r="C27" s="7">
        <f>C22*B31</f>
        <v>1500</v>
      </c>
      <c r="D27" s="7">
        <f>D22*B31</f>
        <v>1500</v>
      </c>
      <c r="E27" s="7">
        <f>E22*B31</f>
        <v>1500</v>
      </c>
      <c r="F27" s="7">
        <f>F22*B31</f>
        <v>1500</v>
      </c>
      <c r="G27" s="7">
        <f>G22*B31</f>
        <v>1500</v>
      </c>
      <c r="H27" s="7">
        <f>H22*B31</f>
        <v>1500</v>
      </c>
      <c r="I27" s="7">
        <f>I22*B31</f>
        <v>1500</v>
      </c>
      <c r="J27" s="7">
        <f>J22*B31</f>
        <v>1500</v>
      </c>
      <c r="K27" s="7">
        <f>K22*B31</f>
        <v>1500</v>
      </c>
      <c r="L27" s="7">
        <f>L22*B31</f>
        <v>1500</v>
      </c>
      <c r="M27" s="7">
        <f>M22*B31</f>
        <v>1500</v>
      </c>
      <c r="N27" s="21" t="s">
        <v>16</v>
      </c>
      <c r="O27" s="20"/>
    </row>
    <row r="28" spans="1:15" ht="18.399999999999999" thickTop="1" x14ac:dyDescent="0.55000000000000004">
      <c r="A28" s="2" t="s">
        <v>23</v>
      </c>
      <c r="B28" s="6">
        <f>B26-B27</f>
        <v>4125</v>
      </c>
      <c r="C28" s="6">
        <f t="shared" ref="C28:M28" si="8">C26-C27</f>
        <v>4125</v>
      </c>
      <c r="D28" s="6">
        <f t="shared" si="8"/>
        <v>4125</v>
      </c>
      <c r="E28" s="6">
        <f t="shared" si="8"/>
        <v>4125</v>
      </c>
      <c r="F28" s="6">
        <f t="shared" si="8"/>
        <v>4125</v>
      </c>
      <c r="G28" s="6">
        <f t="shared" si="8"/>
        <v>4125</v>
      </c>
      <c r="H28" s="6">
        <f t="shared" si="8"/>
        <v>4125</v>
      </c>
      <c r="I28" s="6">
        <f t="shared" si="8"/>
        <v>4125</v>
      </c>
      <c r="J28" s="6">
        <f t="shared" si="8"/>
        <v>4125</v>
      </c>
      <c r="K28" s="6">
        <f t="shared" si="8"/>
        <v>4125</v>
      </c>
      <c r="L28" s="6">
        <f t="shared" si="8"/>
        <v>4125</v>
      </c>
      <c r="M28" s="6">
        <f t="shared" si="8"/>
        <v>4125</v>
      </c>
      <c r="N28" s="8">
        <f>SUM(B28:M28)</f>
        <v>49500</v>
      </c>
      <c r="O28" s="20"/>
    </row>
    <row r="29" spans="1:15" ht="18" x14ac:dyDescent="0.55000000000000004">
      <c r="A29" s="2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8"/>
      <c r="O29" s="20"/>
    </row>
    <row r="30" spans="1:15" ht="18" x14ac:dyDescent="0.55000000000000004">
      <c r="A30" s="2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8"/>
      <c r="O30" s="20"/>
    </row>
    <row r="31" spans="1:15" ht="18" x14ac:dyDescent="0.55000000000000004">
      <c r="A31" s="2" t="s">
        <v>27</v>
      </c>
      <c r="B31" s="9">
        <v>15</v>
      </c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4"/>
      <c r="O31" s="4"/>
    </row>
    <row r="32" spans="1:15" ht="18" x14ac:dyDescent="0.55000000000000004">
      <c r="A32" s="2" t="s">
        <v>22</v>
      </c>
      <c r="B32" s="2" t="s">
        <v>30</v>
      </c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4"/>
      <c r="O32" s="4"/>
    </row>
    <row r="33" spans="1:15" ht="18" x14ac:dyDescent="0.55000000000000004">
      <c r="A33" s="2" t="s">
        <v>17</v>
      </c>
      <c r="B33" s="9">
        <v>90000</v>
      </c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4"/>
      <c r="O33" s="4"/>
    </row>
    <row r="34" spans="1:15" ht="18" x14ac:dyDescent="0.55000000000000004">
      <c r="A34" s="2" t="s">
        <v>31</v>
      </c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4"/>
      <c r="O34" s="4"/>
    </row>
    <row r="35" spans="1:15" ht="18" x14ac:dyDescent="0.55000000000000004">
      <c r="A35" s="10" t="s">
        <v>18</v>
      </c>
      <c r="B35" s="11">
        <v>0.8</v>
      </c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4"/>
      <c r="O35" s="4"/>
    </row>
    <row r="36" spans="1:15" ht="18" x14ac:dyDescent="0.55000000000000004">
      <c r="A36" s="10" t="s">
        <v>19</v>
      </c>
      <c r="B36" s="11">
        <v>0.9</v>
      </c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4"/>
      <c r="O36" s="4"/>
    </row>
    <row r="37" spans="1:15" ht="18" x14ac:dyDescent="0.55000000000000004">
      <c r="A37" s="10" t="s">
        <v>20</v>
      </c>
      <c r="B37" s="11">
        <v>1</v>
      </c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4"/>
      <c r="O37" s="4"/>
    </row>
    <row r="38" spans="1:15" ht="18" x14ac:dyDescent="0.55000000000000004">
      <c r="A38" s="10"/>
      <c r="B38" s="11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4"/>
      <c r="O38" s="4"/>
    </row>
    <row r="39" spans="1:15" ht="18" x14ac:dyDescent="0.55000000000000004">
      <c r="A39" s="4" t="s">
        <v>28</v>
      </c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</row>
    <row r="40" spans="1:15" ht="18" x14ac:dyDescent="0.55000000000000004">
      <c r="A40" s="12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</row>
    <row r="41" spans="1:15" ht="18" x14ac:dyDescent="0.55000000000000004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</row>
    <row r="42" spans="1:15" ht="23.25" x14ac:dyDescent="0.7">
      <c r="A42" s="1"/>
      <c r="B42" s="15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</row>
    <row r="43" spans="1:15" ht="23.25" x14ac:dyDescent="0.7">
      <c r="A43" s="1"/>
      <c r="B43" s="1"/>
      <c r="C43" s="1"/>
      <c r="D43" s="14"/>
      <c r="E43" s="1"/>
      <c r="F43" s="1"/>
      <c r="G43" s="1"/>
      <c r="H43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A84C4B-A5ED-1C48-B784-CDDDD97B8A8B}">
  <dimension ref="A1:C7"/>
  <sheetViews>
    <sheetView workbookViewId="0">
      <selection activeCell="H15" sqref="H15"/>
    </sheetView>
  </sheetViews>
  <sheetFormatPr defaultColWidth="11" defaultRowHeight="15.75" x14ac:dyDescent="0.5"/>
  <sheetData>
    <row r="1" spans="1:3" ht="21" x14ac:dyDescent="0.65">
      <c r="A1" s="25" t="s">
        <v>33</v>
      </c>
      <c r="B1" s="25"/>
      <c r="C1" s="25"/>
    </row>
    <row r="2" spans="1:3" ht="21" x14ac:dyDescent="0.65">
      <c r="A2" s="25"/>
      <c r="B2" s="25"/>
      <c r="C2" s="25"/>
    </row>
    <row r="3" spans="1:3" ht="18" x14ac:dyDescent="0.55000000000000004">
      <c r="A3" s="26" t="s">
        <v>26</v>
      </c>
      <c r="B3" s="28">
        <f>'100 Bed Sample Community'!N10/B7</f>
        <v>417857.14285714284</v>
      </c>
    </row>
    <row r="4" spans="1:3" ht="18" x14ac:dyDescent="0.55000000000000004">
      <c r="A4" s="26" t="s">
        <v>25</v>
      </c>
      <c r="B4" s="28">
        <f>'100 Bed Sample Community'!N19/B7</f>
        <v>600000</v>
      </c>
    </row>
    <row r="5" spans="1:3" ht="18" x14ac:dyDescent="0.55000000000000004">
      <c r="A5" s="26" t="s">
        <v>32</v>
      </c>
      <c r="B5" s="28">
        <f>'100 Bed Sample Community'!N28/B7</f>
        <v>707142.85714285704</v>
      </c>
    </row>
    <row r="6" spans="1:3" x14ac:dyDescent="0.5">
      <c r="A6" s="24"/>
    </row>
    <row r="7" spans="1:3" ht="18" x14ac:dyDescent="0.55000000000000004">
      <c r="A7" s="26" t="s">
        <v>34</v>
      </c>
      <c r="B7" s="27">
        <v>7.0000000000000007E-2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100 Bed Sample Community</vt:lpstr>
      <vt:lpstr>Real Estate Value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Steve Weissblum</dc:creator>
  <cp:lastModifiedBy>Michael Castelein</cp:lastModifiedBy>
  <dcterms:created xsi:type="dcterms:W3CDTF">2025-08-14T18:50:28Z</dcterms:created>
  <dcterms:modified xsi:type="dcterms:W3CDTF">2026-03-19T17:12:29Z</dcterms:modified>
</cp:coreProperties>
</file>